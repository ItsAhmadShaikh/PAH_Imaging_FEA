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cloud-my.sharepoint.com/personal/ahshaikh_ucsd_edu/Documents/DVJ_Lab/cMRI/Code_GitHub/"/>
    </mc:Choice>
  </mc:AlternateContent>
  <xr:revisionPtr revIDLastSave="203" documentId="8_{19E38453-EBDB-4218-A931-B086A48A644B}" xr6:coauthVersionLast="47" xr6:coauthVersionMax="47" xr10:uidLastSave="{4DB1E257-FC25-49A5-A05C-6A4977DE4861}"/>
  <bookViews>
    <workbookView xWindow="2235" yWindow="1740" windowWidth="16380" windowHeight="11385" xr2:uid="{7B0347E3-EFA1-4D9D-A04E-ED2DF9BE0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R5" i="1"/>
  <c r="Q6" i="1"/>
  <c r="R6" i="1"/>
  <c r="Q7" i="1"/>
  <c r="R7" i="1"/>
  <c r="R4" i="1"/>
  <c r="Q4" i="1"/>
  <c r="N5" i="1"/>
  <c r="N6" i="1"/>
  <c r="N7" i="1"/>
  <c r="K5" i="1"/>
  <c r="K6" i="1"/>
  <c r="K7" i="1"/>
  <c r="H5" i="1"/>
  <c r="H6" i="1"/>
  <c r="H7" i="1"/>
  <c r="E5" i="1"/>
  <c r="E6" i="1"/>
  <c r="E7" i="1"/>
  <c r="H4" i="1"/>
  <c r="E4" i="1"/>
  <c r="N4" i="1"/>
  <c r="K4" i="1"/>
</calcChain>
</file>

<file path=xl/sharedStrings.xml><?xml version="1.0" encoding="utf-8"?>
<sst xmlns="http://schemas.openxmlformats.org/spreadsheetml/2006/main" count="45" uniqueCount="30">
  <si>
    <t>Rat Name</t>
  </si>
  <si>
    <t>PV Loop</t>
  </si>
  <si>
    <t>V End Diastole</t>
  </si>
  <si>
    <t>V0</t>
  </si>
  <si>
    <t>V Ratio</t>
  </si>
  <si>
    <t>FEA</t>
  </si>
  <si>
    <t>Scaling (Material)</t>
  </si>
  <si>
    <t>Pressure (End Diastole)</t>
  </si>
  <si>
    <t>Material Properties</t>
  </si>
  <si>
    <t>a</t>
  </si>
  <si>
    <t>b</t>
  </si>
  <si>
    <t>af</t>
  </si>
  <si>
    <t>bf</t>
  </si>
  <si>
    <t>as</t>
  </si>
  <si>
    <t>bs</t>
  </si>
  <si>
    <t>afs,bfs,asn,bsn,anf,bnf</t>
  </si>
  <si>
    <t>k</t>
  </si>
  <si>
    <t>Z210</t>
  </si>
  <si>
    <t>Y329</t>
  </si>
  <si>
    <t>Mesh Elements</t>
  </si>
  <si>
    <t>endo</t>
  </si>
  <si>
    <t>epi</t>
  </si>
  <si>
    <t>Fiber Angles</t>
  </si>
  <si>
    <t>RV</t>
  </si>
  <si>
    <t>LV</t>
  </si>
  <si>
    <t>mmHg</t>
  </si>
  <si>
    <t>kPa</t>
  </si>
  <si>
    <t>Week</t>
  </si>
  <si>
    <t>Y325</t>
  </si>
  <si>
    <t>Y322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</si>
</sst>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4" xfId="0" applyBorder="1"/>
    <xf numFmtId="0" fontId="1" fillId="0" borderId="0" xfId="0" applyFont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4B17-D390-4B22-B64C-8ED65B6CB814}">
  <dimension ref="A1:AG13"/>
  <sheetViews>
    <sheetView tabSelected="1" zoomScaleNormal="100" workbookViewId="0">
      <pane xSplit="1" topLeftCell="B1" activePane="topRight" state="frozen"/>
      <selection pane="topRight" activeCell="O16" sqref="O16"/>
    </sheetView>
  </sheetViews>
  <sheetFormatPr defaultRowHeight="15" x14ac:dyDescent="0.25"/>
  <cols>
    <col min="1" max="1" width="9.5703125" style="1" bestFit="1" customWidth="1"/>
    <col min="2" max="2" width="9.5703125" style="1" customWidth="1"/>
    <col min="3" max="3" width="13.7109375" bestFit="1" customWidth="1"/>
    <col min="4" max="4" width="3.140625" bestFit="1" customWidth="1"/>
    <col min="5" max="5" width="7.140625" style="1" bestFit="1" customWidth="1"/>
    <col min="6" max="7" width="7.140625" customWidth="1"/>
    <col min="8" max="8" width="7.140625" style="2" customWidth="1"/>
    <col min="9" max="9" width="13.7109375" bestFit="1" customWidth="1"/>
    <col min="10" max="10" width="4" bestFit="1" customWidth="1"/>
    <col min="11" max="11" width="7.140625" style="2" bestFit="1" customWidth="1"/>
    <col min="12" max="14" width="7.140625" style="2" customWidth="1"/>
    <col min="15" max="16" width="12.7109375" style="2" customWidth="1"/>
    <col min="17" max="17" width="22" style="2" bestFit="1" customWidth="1"/>
    <col min="18" max="18" width="22" style="2" customWidth="1"/>
    <col min="19" max="19" width="16.7109375" style="2" bestFit="1" customWidth="1"/>
    <col min="20" max="20" width="4.42578125" customWidth="1"/>
    <col min="21" max="21" width="3.7109375" customWidth="1"/>
    <col min="22" max="22" width="5.5703125" customWidth="1"/>
    <col min="23" max="23" width="5" customWidth="1"/>
    <col min="24" max="24" width="5.140625" customWidth="1"/>
    <col min="25" max="25" width="5.85546875" customWidth="1"/>
    <col min="26" max="26" width="10" customWidth="1"/>
    <col min="27" max="27" width="4.28515625" style="2" customWidth="1"/>
    <col min="29" max="29" width="8.7109375" style="2" customWidth="1"/>
    <col min="30" max="30" width="12" style="2" customWidth="1"/>
  </cols>
  <sheetData>
    <row r="1" spans="1:33" x14ac:dyDescent="0.25">
      <c r="A1" s="11" t="s">
        <v>0</v>
      </c>
      <c r="B1" s="11" t="s">
        <v>27</v>
      </c>
      <c r="C1" s="13" t="s">
        <v>1</v>
      </c>
      <c r="D1" s="14"/>
      <c r="E1" s="14"/>
      <c r="F1" s="14"/>
      <c r="G1" s="14"/>
      <c r="H1" s="15"/>
      <c r="I1" s="13" t="s">
        <v>5</v>
      </c>
      <c r="J1" s="14"/>
      <c r="K1" s="14"/>
      <c r="L1" s="14"/>
      <c r="M1" s="14"/>
      <c r="N1" s="15"/>
      <c r="O1" s="13" t="s">
        <v>7</v>
      </c>
      <c r="P1" s="18"/>
      <c r="Q1" s="18"/>
      <c r="R1" s="15"/>
      <c r="S1" s="11" t="s">
        <v>6</v>
      </c>
      <c r="T1" s="14" t="s">
        <v>8</v>
      </c>
      <c r="U1" s="14"/>
      <c r="V1" s="14"/>
      <c r="W1" s="14"/>
      <c r="X1" s="14"/>
      <c r="Y1" s="14"/>
      <c r="Z1" s="14"/>
      <c r="AA1" s="6"/>
      <c r="AB1" s="13" t="s">
        <v>22</v>
      </c>
      <c r="AC1" s="14"/>
      <c r="AD1" s="15" t="s">
        <v>19</v>
      </c>
    </row>
    <row r="2" spans="1:33" x14ac:dyDescent="0.25">
      <c r="A2" s="11"/>
      <c r="B2" s="11"/>
      <c r="C2" s="13" t="s">
        <v>23</v>
      </c>
      <c r="D2" s="14"/>
      <c r="E2" s="15"/>
      <c r="F2" s="13" t="s">
        <v>24</v>
      </c>
      <c r="G2" s="14"/>
      <c r="H2" s="15"/>
      <c r="I2" s="13" t="s">
        <v>23</v>
      </c>
      <c r="J2" s="14"/>
      <c r="K2" s="15"/>
      <c r="L2" s="13" t="s">
        <v>24</v>
      </c>
      <c r="M2" s="14"/>
      <c r="N2" s="15"/>
      <c r="O2" s="13" t="s">
        <v>25</v>
      </c>
      <c r="P2" s="15"/>
      <c r="Q2" s="18" t="s">
        <v>26</v>
      </c>
      <c r="R2" s="15"/>
      <c r="S2" s="11"/>
      <c r="T2" s="5"/>
      <c r="U2" s="5"/>
      <c r="V2" s="5"/>
      <c r="W2" s="5"/>
      <c r="X2" s="5"/>
      <c r="Y2" s="5"/>
      <c r="Z2" s="5"/>
      <c r="AA2" s="6"/>
      <c r="AB2" s="4"/>
      <c r="AC2" s="5"/>
      <c r="AD2" s="15"/>
    </row>
    <row r="3" spans="1:33" x14ac:dyDescent="0.25">
      <c r="A3" s="12"/>
      <c r="B3" s="12"/>
      <c r="C3" s="8" t="s">
        <v>2</v>
      </c>
      <c r="D3" s="8" t="s">
        <v>3</v>
      </c>
      <c r="E3" s="7" t="s">
        <v>4</v>
      </c>
      <c r="F3" s="8" t="s">
        <v>2</v>
      </c>
      <c r="G3" s="8" t="s">
        <v>3</v>
      </c>
      <c r="H3" s="7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7" t="s">
        <v>4</v>
      </c>
      <c r="O3" s="9" t="s">
        <v>24</v>
      </c>
      <c r="P3" s="9" t="s">
        <v>23</v>
      </c>
      <c r="Q3" s="9" t="s">
        <v>24</v>
      </c>
      <c r="R3" s="9" t="s">
        <v>23</v>
      </c>
      <c r="S3" s="12"/>
      <c r="T3" s="8" t="s">
        <v>9</v>
      </c>
      <c r="U3" s="8" t="s">
        <v>10</v>
      </c>
      <c r="V3" s="8" t="s">
        <v>11</v>
      </c>
      <c r="W3" s="8" t="s">
        <v>12</v>
      </c>
      <c r="X3" s="8" t="s">
        <v>13</v>
      </c>
      <c r="Y3" s="8" t="s">
        <v>14</v>
      </c>
      <c r="Z3" s="8" t="s">
        <v>15</v>
      </c>
      <c r="AA3" s="9" t="s">
        <v>16</v>
      </c>
      <c r="AB3" s="10" t="s">
        <v>20</v>
      </c>
      <c r="AC3" s="9" t="s">
        <v>21</v>
      </c>
      <c r="AD3" s="16"/>
    </row>
    <row r="4" spans="1:33" x14ac:dyDescent="0.25">
      <c r="A4" s="1" t="s">
        <v>17</v>
      </c>
      <c r="B4" s="1">
        <v>0</v>
      </c>
      <c r="C4" s="3">
        <v>243.97301400000001</v>
      </c>
      <c r="E4" s="1">
        <f>D4/C4</f>
        <v>0</v>
      </c>
      <c r="F4" s="3">
        <v>233.20442059999999</v>
      </c>
      <c r="H4" s="2">
        <f>G4/F4</f>
        <v>0</v>
      </c>
      <c r="I4" s="3">
        <v>395.75</v>
      </c>
      <c r="J4">
        <v>273.7</v>
      </c>
      <c r="K4" s="2">
        <f>J4/I4</f>
        <v>0.69159823120656982</v>
      </c>
      <c r="L4" s="2">
        <v>543.21</v>
      </c>
      <c r="M4" s="2">
        <v>297.66000000000003</v>
      </c>
      <c r="N4" s="2">
        <f>M4/L4</f>
        <v>0.54796487546252837</v>
      </c>
      <c r="O4" s="2">
        <v>5.8281184269999997</v>
      </c>
      <c r="P4" s="2">
        <v>1.4936749709999999</v>
      </c>
      <c r="Q4" s="2">
        <f>O4*0.133322</f>
        <v>0.77701640492449398</v>
      </c>
      <c r="R4" s="2">
        <f>P4*0.133322</f>
        <v>0.19913973448366198</v>
      </c>
      <c r="S4" s="2">
        <v>25</v>
      </c>
      <c r="T4">
        <v>11.82869247</v>
      </c>
      <c r="U4">
        <v>13.9649032</v>
      </c>
      <c r="V4">
        <v>5.4766542029999998</v>
      </c>
      <c r="W4">
        <v>50</v>
      </c>
      <c r="X4">
        <v>2.861221295</v>
      </c>
      <c r="Y4">
        <v>2</v>
      </c>
      <c r="Z4">
        <v>0</v>
      </c>
      <c r="AA4" s="2">
        <v>50</v>
      </c>
      <c r="AB4">
        <v>60</v>
      </c>
      <c r="AC4" s="2">
        <v>-60</v>
      </c>
      <c r="AG4" s="3"/>
    </row>
    <row r="5" spans="1:33" x14ac:dyDescent="0.25">
      <c r="A5" s="1" t="s">
        <v>18</v>
      </c>
      <c r="B5" s="1">
        <v>4</v>
      </c>
      <c r="C5" s="3">
        <v>225.3675471</v>
      </c>
      <c r="E5" s="1">
        <f t="shared" ref="E5:E7" si="0">D5/C5</f>
        <v>0</v>
      </c>
      <c r="F5" s="3">
        <v>183.2370142</v>
      </c>
      <c r="H5" s="2">
        <f t="shared" ref="H5:H7" si="1">G5/F5</f>
        <v>0</v>
      </c>
      <c r="I5">
        <v>282.75</v>
      </c>
      <c r="J5">
        <v>99.94</v>
      </c>
      <c r="K5" s="2">
        <f t="shared" ref="K5:K7" si="2">J5/I5</f>
        <v>0.35345711759504861</v>
      </c>
      <c r="L5" s="2">
        <v>113.08</v>
      </c>
      <c r="M5" s="2">
        <v>57.62</v>
      </c>
      <c r="N5" s="2">
        <f t="shared" ref="N5:N7" si="3">M5/L5</f>
        <v>0.50955076052352311</v>
      </c>
      <c r="O5" s="2">
        <v>6.9769886889999997</v>
      </c>
      <c r="P5" s="2">
        <v>8.9448939010000004</v>
      </c>
      <c r="Q5" s="2">
        <f t="shared" ref="Q5:Q7" si="4">O5*0.133322</f>
        <v>0.93018608599485797</v>
      </c>
      <c r="R5" s="2">
        <f t="shared" ref="R5:R7" si="5">P5*0.133322</f>
        <v>1.1925511446691219</v>
      </c>
      <c r="S5" s="2">
        <v>25</v>
      </c>
      <c r="T5">
        <v>11.59417691</v>
      </c>
      <c r="U5">
        <v>22.675821379999999</v>
      </c>
      <c r="V5">
        <v>3.8595014760000002</v>
      </c>
      <c r="W5">
        <v>50</v>
      </c>
      <c r="X5">
        <v>0.76935327190000002</v>
      </c>
      <c r="Y5">
        <v>119.66460379999999</v>
      </c>
      <c r="Z5">
        <v>0</v>
      </c>
      <c r="AA5" s="2">
        <v>50</v>
      </c>
      <c r="AB5">
        <v>60</v>
      </c>
      <c r="AC5" s="2">
        <v>-60</v>
      </c>
      <c r="AG5" s="3"/>
    </row>
    <row r="6" spans="1:33" x14ac:dyDescent="0.25">
      <c r="A6" s="1" t="s">
        <v>28</v>
      </c>
      <c r="B6" s="1">
        <v>8</v>
      </c>
      <c r="C6">
        <v>270.62906720000001</v>
      </c>
      <c r="E6" s="1">
        <f t="shared" si="0"/>
        <v>0</v>
      </c>
      <c r="F6">
        <v>235.89701049999999</v>
      </c>
      <c r="H6" s="2">
        <f t="shared" si="1"/>
        <v>0</v>
      </c>
      <c r="I6">
        <v>519.77</v>
      </c>
      <c r="J6">
        <v>257.57</v>
      </c>
      <c r="K6" s="2">
        <f t="shared" si="2"/>
        <v>0.4955461069319122</v>
      </c>
      <c r="L6" s="2">
        <v>337.13</v>
      </c>
      <c r="M6" s="2">
        <v>180.92</v>
      </c>
      <c r="N6" s="2">
        <f t="shared" si="3"/>
        <v>0.53664758401803458</v>
      </c>
      <c r="O6" s="2">
        <v>6.9468937369999999</v>
      </c>
      <c r="P6" s="2">
        <v>6.2302775869999998</v>
      </c>
      <c r="Q6" s="2">
        <f t="shared" si="4"/>
        <v>0.92617376680431396</v>
      </c>
      <c r="R6" s="2">
        <f t="shared" si="5"/>
        <v>0.83063306845401397</v>
      </c>
      <c r="S6" s="2">
        <v>25</v>
      </c>
      <c r="T6">
        <v>15.9856544</v>
      </c>
      <c r="U6">
        <v>18.845959990000001</v>
      </c>
      <c r="V6">
        <v>8.5054292530000009</v>
      </c>
      <c r="W6">
        <v>28.917048399999999</v>
      </c>
      <c r="X6">
        <v>2.8363470589999999</v>
      </c>
      <c r="Y6">
        <v>56.56703134</v>
      </c>
      <c r="Z6">
        <v>0</v>
      </c>
      <c r="AA6" s="2">
        <v>50</v>
      </c>
      <c r="AB6" s="17">
        <v>60</v>
      </c>
      <c r="AC6" s="2">
        <v>-60</v>
      </c>
      <c r="AG6" s="3"/>
    </row>
    <row r="7" spans="1:33" x14ac:dyDescent="0.25">
      <c r="A7" s="1" t="s">
        <v>29</v>
      </c>
      <c r="B7" s="1">
        <v>12</v>
      </c>
      <c r="C7">
        <v>281.36157830000002</v>
      </c>
      <c r="E7" s="1">
        <f t="shared" si="0"/>
        <v>0</v>
      </c>
      <c r="F7">
        <v>245.77728440000001</v>
      </c>
      <c r="H7" s="2">
        <f t="shared" si="1"/>
        <v>0</v>
      </c>
      <c r="K7" s="2" t="e">
        <f t="shared" si="2"/>
        <v>#DIV/0!</v>
      </c>
      <c r="N7" s="2" t="e">
        <f t="shared" si="3"/>
        <v>#DIV/0!</v>
      </c>
      <c r="O7" s="2">
        <v>6.5442381980000004</v>
      </c>
      <c r="P7" s="2">
        <v>6.5611305160000004</v>
      </c>
      <c r="Q7" s="2">
        <f t="shared" si="4"/>
        <v>0.87249092503375603</v>
      </c>
      <c r="R7" s="2">
        <f t="shared" si="5"/>
        <v>0.87474304265415204</v>
      </c>
      <c r="S7" s="2">
        <v>25</v>
      </c>
    </row>
    <row r="13" spans="1:33" x14ac:dyDescent="0.25">
      <c r="R13"/>
    </row>
  </sheetData>
  <mergeCells count="15">
    <mergeCell ref="AD1:AD3"/>
    <mergeCell ref="T1:Z1"/>
    <mergeCell ref="AB1:AC1"/>
    <mergeCell ref="B1:B3"/>
    <mergeCell ref="O1:R1"/>
    <mergeCell ref="Q2:R2"/>
    <mergeCell ref="O2:P2"/>
    <mergeCell ref="A1:A3"/>
    <mergeCell ref="S1:S3"/>
    <mergeCell ref="C2:E2"/>
    <mergeCell ref="F2:H2"/>
    <mergeCell ref="I2:K2"/>
    <mergeCell ref="L2:N2"/>
    <mergeCell ref="C1:H1"/>
    <mergeCell ref="I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Ahmad</dc:creator>
  <cp:lastModifiedBy>Shaikh, Ahmad</cp:lastModifiedBy>
  <dcterms:created xsi:type="dcterms:W3CDTF">2025-08-04T20:00:29Z</dcterms:created>
  <dcterms:modified xsi:type="dcterms:W3CDTF">2025-08-08T00:35:56Z</dcterms:modified>
</cp:coreProperties>
</file>