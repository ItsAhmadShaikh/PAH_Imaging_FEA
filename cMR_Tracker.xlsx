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sdcloud-my.sharepoint.com/personal/ahshaikh_ucsd_edu/Documents/DVJ_Lab/cMRI/Code_GitHub/"/>
    </mc:Choice>
  </mc:AlternateContent>
  <xr:revisionPtr revIDLastSave="317" documentId="8_{19E38453-EBDB-4218-A931-B086A48A644B}" xr6:coauthVersionLast="47" xr6:coauthVersionMax="47" xr10:uidLastSave="{41671A6B-7541-452A-9233-27D7C3E13F22}"/>
  <bookViews>
    <workbookView xWindow="3345" yWindow="270" windowWidth="16380" windowHeight="11385" xr2:uid="{7B0347E3-EFA1-4D9D-A04E-ED2DF9BE093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28" i="1"/>
  <c r="N27" i="1"/>
  <c r="K28" i="1"/>
  <c r="K27" i="1"/>
  <c r="H16" i="1"/>
  <c r="E16" i="1"/>
  <c r="H14" i="1"/>
  <c r="E14" i="1"/>
  <c r="H13" i="1"/>
  <c r="E13" i="1"/>
  <c r="H12" i="1"/>
  <c r="E12" i="1"/>
  <c r="H11" i="1"/>
  <c r="E11" i="1"/>
  <c r="K14" i="1"/>
  <c r="K13" i="1"/>
  <c r="K12" i="1"/>
  <c r="K11" i="1"/>
  <c r="N14" i="1"/>
  <c r="N13" i="1"/>
  <c r="N11" i="1"/>
  <c r="R14" i="1"/>
  <c r="Q14" i="1"/>
  <c r="R13" i="1"/>
  <c r="Q13" i="1"/>
  <c r="R12" i="1"/>
  <c r="Q12" i="1"/>
  <c r="R11" i="1"/>
  <c r="Q11" i="1"/>
  <c r="H9" i="1"/>
  <c r="K9" i="1"/>
  <c r="N9" i="1"/>
  <c r="E9" i="1"/>
  <c r="Q5" i="1"/>
  <c r="R5" i="1"/>
  <c r="Q6" i="1"/>
  <c r="R6" i="1"/>
  <c r="Q7" i="1"/>
  <c r="R7" i="1"/>
  <c r="R4" i="1"/>
  <c r="Q4" i="1"/>
  <c r="N5" i="1"/>
  <c r="N6" i="1"/>
  <c r="N7" i="1"/>
  <c r="K5" i="1"/>
  <c r="K6" i="1"/>
  <c r="K7" i="1"/>
  <c r="H5" i="1"/>
  <c r="H6" i="1"/>
  <c r="H7" i="1"/>
  <c r="E5" i="1"/>
  <c r="E6" i="1"/>
  <c r="E7" i="1"/>
  <c r="H4" i="1"/>
  <c r="E4" i="1"/>
  <c r="N4" i="1"/>
  <c r="K4" i="1"/>
  <c r="K16" i="1" l="1"/>
  <c r="N16" i="1"/>
</calcChain>
</file>

<file path=xl/sharedStrings.xml><?xml version="1.0" encoding="utf-8"?>
<sst xmlns="http://schemas.openxmlformats.org/spreadsheetml/2006/main" count="59" uniqueCount="35">
  <si>
    <t>Rat Name</t>
  </si>
  <si>
    <t>PV Loop</t>
  </si>
  <si>
    <t>V End Diastole</t>
  </si>
  <si>
    <t>V0</t>
  </si>
  <si>
    <t>V Ratio</t>
  </si>
  <si>
    <t>FEA</t>
  </si>
  <si>
    <t>Scaling (Material)</t>
  </si>
  <si>
    <t>Pressure (End Diastole)</t>
  </si>
  <si>
    <t>Material Properties</t>
  </si>
  <si>
    <t>a</t>
  </si>
  <si>
    <t>b</t>
  </si>
  <si>
    <t>af</t>
  </si>
  <si>
    <t>bf</t>
  </si>
  <si>
    <t>as</t>
  </si>
  <si>
    <t>bs</t>
  </si>
  <si>
    <t>afs,bfs,asn,bsn,anf,bnf</t>
  </si>
  <si>
    <t>k</t>
  </si>
  <si>
    <t>Z210</t>
  </si>
  <si>
    <t>Y329</t>
  </si>
  <si>
    <t>Mesh Elements</t>
  </si>
  <si>
    <t>endo</t>
  </si>
  <si>
    <t>epi</t>
  </si>
  <si>
    <t>Fiber Angles</t>
  </si>
  <si>
    <t>RV</t>
  </si>
  <si>
    <t>LV</t>
  </si>
  <si>
    <t>mmHg</t>
  </si>
  <si>
    <t>kPa</t>
  </si>
  <si>
    <t>Week</t>
  </si>
  <si>
    <t>Y325</t>
  </si>
  <si>
    <t>Y322</t>
  </si>
  <si>
    <t>Average</t>
  </si>
  <si>
    <t>RV- PV loop</t>
  </si>
  <si>
    <t>LV- PV loop</t>
  </si>
  <si>
    <t>RV fea</t>
  </si>
  <si>
    <t>LV fea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</si>
</sst>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Tenorite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/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" xfId="0" applyFont="1" applyBorder="1"/>
    <xf numFmtId="0" fontId="1" fillId="2" borderId="2" xfId="0" applyFont="1" applyFill="1" applyBorder="1"/>
    <xf numFmtId="0" fontId="1" fillId="3" borderId="4" xfId="0" applyFont="1" applyFill="1" applyBorder="1"/>
    <xf numFmtId="0" fontId="1" fillId="2" borderId="4" xfId="0" applyFont="1" applyFill="1" applyBorder="1"/>
    <xf numFmtId="0" fontId="1" fillId="0" borderId="4" xfId="0" applyFont="1" applyBorder="1"/>
    <xf numFmtId="0" fontId="1" fillId="4" borderId="2" xfId="0" applyFont="1" applyFill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4B17-D390-4B22-B64C-8ED65B6CB814}">
  <dimension ref="A1:AD28"/>
  <sheetViews>
    <sheetView tabSelected="1" zoomScale="115" zoomScaleNormal="115" workbookViewId="0">
      <pane xSplit="1" topLeftCell="D1" activePane="topRight" state="frozen"/>
      <selection activeCell="A22" sqref="A22"/>
      <selection pane="topRight" activeCell="J7" sqref="J7"/>
    </sheetView>
  </sheetViews>
  <sheetFormatPr defaultRowHeight="15" x14ac:dyDescent="0.25"/>
  <cols>
    <col min="1" max="1" width="9.5703125" style="9" bestFit="1" customWidth="1"/>
    <col min="2" max="2" width="9.5703125" style="9" customWidth="1"/>
    <col min="3" max="3" width="13.85546875" style="4" bestFit="1" customWidth="1"/>
    <col min="4" max="4" width="3.42578125" style="4" bestFit="1" customWidth="1"/>
    <col min="5" max="5" width="14.140625" style="9" customWidth="1"/>
    <col min="6" max="7" width="7.140625" style="4" customWidth="1"/>
    <col min="8" max="8" width="17.7109375" style="13" customWidth="1"/>
    <col min="9" max="9" width="13.85546875" style="4" bestFit="1" customWidth="1"/>
    <col min="10" max="10" width="4.42578125" style="4" bestFit="1" customWidth="1"/>
    <col min="11" max="11" width="14.140625" style="13" customWidth="1"/>
    <col min="12" max="13" width="7.140625" style="13" customWidth="1"/>
    <col min="14" max="14" width="18" style="13" customWidth="1"/>
    <col min="15" max="16" width="12.7109375" style="13" customWidth="1"/>
    <col min="17" max="17" width="22.140625" style="13" bestFit="1" customWidth="1"/>
    <col min="18" max="18" width="22" style="13" customWidth="1"/>
    <col min="19" max="19" width="16.85546875" style="13" bestFit="1" customWidth="1"/>
    <col min="20" max="20" width="4.42578125" style="4" customWidth="1"/>
    <col min="21" max="21" width="3.7109375" style="4" customWidth="1"/>
    <col min="22" max="22" width="5.5703125" style="4" customWidth="1"/>
    <col min="23" max="23" width="5" style="4" customWidth="1"/>
    <col min="24" max="24" width="5.140625" style="4" customWidth="1"/>
    <col min="25" max="25" width="5.85546875" style="4" customWidth="1"/>
    <col min="26" max="26" width="10" style="4" customWidth="1"/>
    <col min="27" max="27" width="4.28515625" style="13" customWidth="1"/>
    <col min="28" max="28" width="9.28515625" style="4" bestFit="1" customWidth="1"/>
    <col min="29" max="29" width="8.7109375" style="13" customWidth="1"/>
    <col min="30" max="30" width="12" style="13" customWidth="1"/>
    <col min="31" max="16384" width="9.140625" style="4"/>
  </cols>
  <sheetData>
    <row r="1" spans="1:30" x14ac:dyDescent="0.25">
      <c r="A1" s="19" t="s">
        <v>0</v>
      </c>
      <c r="B1" s="19" t="s">
        <v>27</v>
      </c>
      <c r="C1" s="18" t="s">
        <v>1</v>
      </c>
      <c r="D1" s="17"/>
      <c r="E1" s="17"/>
      <c r="F1" s="17"/>
      <c r="G1" s="17"/>
      <c r="H1" s="15"/>
      <c r="I1" s="18" t="s">
        <v>5</v>
      </c>
      <c r="J1" s="17"/>
      <c r="K1" s="17"/>
      <c r="L1" s="17"/>
      <c r="M1" s="17"/>
      <c r="N1" s="15"/>
      <c r="O1" s="18" t="s">
        <v>7</v>
      </c>
      <c r="P1" s="17"/>
      <c r="Q1" s="17"/>
      <c r="R1" s="15"/>
      <c r="S1" s="19" t="s">
        <v>6</v>
      </c>
      <c r="T1" s="17" t="s">
        <v>8</v>
      </c>
      <c r="U1" s="17"/>
      <c r="V1" s="17"/>
      <c r="W1" s="17"/>
      <c r="X1" s="17"/>
      <c r="Y1" s="17"/>
      <c r="Z1" s="17"/>
      <c r="AA1" s="3"/>
      <c r="AB1" s="18" t="s">
        <v>22</v>
      </c>
      <c r="AC1" s="17"/>
      <c r="AD1" s="15" t="s">
        <v>19</v>
      </c>
    </row>
    <row r="2" spans="1:30" x14ac:dyDescent="0.25">
      <c r="A2" s="19"/>
      <c r="B2" s="19"/>
      <c r="C2" s="18" t="s">
        <v>23</v>
      </c>
      <c r="D2" s="17"/>
      <c r="E2" s="15"/>
      <c r="F2" s="18" t="s">
        <v>24</v>
      </c>
      <c r="G2" s="17"/>
      <c r="H2" s="15"/>
      <c r="I2" s="18" t="s">
        <v>23</v>
      </c>
      <c r="J2" s="17"/>
      <c r="K2" s="15"/>
      <c r="L2" s="18" t="s">
        <v>24</v>
      </c>
      <c r="M2" s="17"/>
      <c r="N2" s="15"/>
      <c r="O2" s="18" t="s">
        <v>25</v>
      </c>
      <c r="P2" s="15"/>
      <c r="Q2" s="17" t="s">
        <v>26</v>
      </c>
      <c r="R2" s="15"/>
      <c r="S2" s="19"/>
      <c r="T2" s="2"/>
      <c r="U2" s="2"/>
      <c r="V2" s="2"/>
      <c r="W2" s="2"/>
      <c r="X2" s="2"/>
      <c r="Y2" s="2"/>
      <c r="Z2" s="2"/>
      <c r="AA2" s="3"/>
      <c r="AB2" s="1"/>
      <c r="AC2" s="2"/>
      <c r="AD2" s="15"/>
    </row>
    <row r="3" spans="1:30" x14ac:dyDescent="0.25">
      <c r="A3" s="20"/>
      <c r="B3" s="20"/>
      <c r="C3" s="6" t="s">
        <v>2</v>
      </c>
      <c r="D3" s="6" t="s">
        <v>3</v>
      </c>
      <c r="E3" s="5" t="s">
        <v>4</v>
      </c>
      <c r="F3" s="6" t="s">
        <v>2</v>
      </c>
      <c r="G3" s="6" t="s">
        <v>3</v>
      </c>
      <c r="H3" s="5" t="s">
        <v>4</v>
      </c>
      <c r="I3" s="6" t="s">
        <v>2</v>
      </c>
      <c r="J3" s="6" t="s">
        <v>3</v>
      </c>
      <c r="K3" s="7" t="s">
        <v>4</v>
      </c>
      <c r="L3" s="6" t="s">
        <v>2</v>
      </c>
      <c r="M3" s="6" t="s">
        <v>3</v>
      </c>
      <c r="N3" s="5" t="s">
        <v>4</v>
      </c>
      <c r="O3" s="7" t="s">
        <v>24</v>
      </c>
      <c r="P3" s="7" t="s">
        <v>23</v>
      </c>
      <c r="Q3" s="7" t="s">
        <v>24</v>
      </c>
      <c r="R3" s="7" t="s">
        <v>23</v>
      </c>
      <c r="S3" s="20"/>
      <c r="T3" s="6" t="s">
        <v>9</v>
      </c>
      <c r="U3" s="6" t="s">
        <v>10</v>
      </c>
      <c r="V3" s="6" t="s">
        <v>11</v>
      </c>
      <c r="W3" s="6" t="s">
        <v>12</v>
      </c>
      <c r="X3" s="6" t="s">
        <v>13</v>
      </c>
      <c r="Y3" s="6" t="s">
        <v>14</v>
      </c>
      <c r="Z3" s="6" t="s">
        <v>15</v>
      </c>
      <c r="AA3" s="7" t="s">
        <v>16</v>
      </c>
      <c r="AB3" s="8" t="s">
        <v>20</v>
      </c>
      <c r="AC3" s="7" t="s">
        <v>21</v>
      </c>
      <c r="AD3" s="16"/>
    </row>
    <row r="4" spans="1:30" x14ac:dyDescent="0.25">
      <c r="A4" s="9" t="s">
        <v>17</v>
      </c>
      <c r="B4" s="9">
        <v>0</v>
      </c>
      <c r="C4" s="4">
        <v>243.97301400000001</v>
      </c>
      <c r="D4" s="4">
        <v>72.797134600000007</v>
      </c>
      <c r="E4" s="10">
        <f>D4/C4</f>
        <v>0.29838191284549204</v>
      </c>
      <c r="F4" s="4">
        <v>233.20442059999999</v>
      </c>
      <c r="G4" s="4">
        <v>28.381903909999998</v>
      </c>
      <c r="H4" s="11">
        <f>G4/F4</f>
        <v>0.12170397043494123</v>
      </c>
      <c r="I4" s="4">
        <v>395.75</v>
      </c>
      <c r="J4" s="4">
        <v>273.7</v>
      </c>
      <c r="K4" s="12">
        <f>J4/I4</f>
        <v>0.69159823120656982</v>
      </c>
      <c r="L4" s="13">
        <v>543.21</v>
      </c>
      <c r="M4" s="13">
        <v>297.66000000000003</v>
      </c>
      <c r="N4" s="11">
        <f>M4/L4</f>
        <v>0.54796487546252837</v>
      </c>
      <c r="O4" s="13">
        <v>5.8281184269999997</v>
      </c>
      <c r="P4" s="13">
        <v>1.4936749709999999</v>
      </c>
      <c r="Q4" s="13">
        <f>O4*0.133322</f>
        <v>0.77701640492449398</v>
      </c>
      <c r="R4" s="13">
        <f>P4*0.133322</f>
        <v>0.19913973448366198</v>
      </c>
      <c r="S4" s="13">
        <v>25</v>
      </c>
      <c r="T4" s="4">
        <v>11.82869247</v>
      </c>
      <c r="U4" s="4">
        <v>13.9649032</v>
      </c>
      <c r="V4" s="4">
        <v>5.4766542029999998</v>
      </c>
      <c r="W4" s="4">
        <v>50</v>
      </c>
      <c r="X4" s="4">
        <v>2.861221295</v>
      </c>
      <c r="Y4" s="4">
        <v>2</v>
      </c>
      <c r="Z4" s="4">
        <v>0</v>
      </c>
      <c r="AA4" s="13">
        <v>50</v>
      </c>
      <c r="AB4" s="4">
        <v>60</v>
      </c>
      <c r="AC4" s="13">
        <v>-60</v>
      </c>
    </row>
    <row r="5" spans="1:30" x14ac:dyDescent="0.25">
      <c r="A5" s="9" t="s">
        <v>18</v>
      </c>
      <c r="B5" s="9">
        <v>4</v>
      </c>
      <c r="C5" s="4">
        <v>225.3675471</v>
      </c>
      <c r="D5" s="4">
        <v>41.009937620000002</v>
      </c>
      <c r="E5" s="10">
        <f t="shared" ref="E5:E7" si="0">D5/C5</f>
        <v>0.18196913507605905</v>
      </c>
      <c r="F5" s="4">
        <v>183.2370142</v>
      </c>
      <c r="G5" s="4">
        <v>5.5615337069999997</v>
      </c>
      <c r="H5" s="11">
        <f t="shared" ref="H5:H7" si="1">G5/F5</f>
        <v>3.0351584428949942E-2</v>
      </c>
      <c r="I5" s="4">
        <v>282.75</v>
      </c>
      <c r="J5" s="4">
        <v>99.94</v>
      </c>
      <c r="K5" s="12">
        <f t="shared" ref="K5:K7" si="2">J5/I5</f>
        <v>0.35345711759504861</v>
      </c>
      <c r="L5" s="13">
        <v>113.08</v>
      </c>
      <c r="M5" s="13">
        <v>57.62</v>
      </c>
      <c r="N5" s="11">
        <f t="shared" ref="N5:N7" si="3">M5/L5</f>
        <v>0.50955076052352311</v>
      </c>
      <c r="O5" s="13">
        <v>6.9769886889999997</v>
      </c>
      <c r="P5" s="13">
        <v>8.9448939010000004</v>
      </c>
      <c r="Q5" s="13">
        <f t="shared" ref="Q5:Q7" si="4">O5*0.133322</f>
        <v>0.93018608599485797</v>
      </c>
      <c r="R5" s="13">
        <f t="shared" ref="R5:R7" si="5">P5*0.133322</f>
        <v>1.1925511446691219</v>
      </c>
      <c r="S5" s="13">
        <v>25</v>
      </c>
      <c r="T5" s="4">
        <v>11.59417691</v>
      </c>
      <c r="U5" s="4">
        <v>22.675821379999999</v>
      </c>
      <c r="V5" s="4">
        <v>3.8595014760000002</v>
      </c>
      <c r="W5" s="4">
        <v>50</v>
      </c>
      <c r="X5" s="4">
        <v>0.76935327190000002</v>
      </c>
      <c r="Y5" s="4">
        <v>119.66460379999999</v>
      </c>
      <c r="Z5" s="4">
        <v>0</v>
      </c>
      <c r="AA5" s="13">
        <v>50</v>
      </c>
      <c r="AB5" s="4">
        <v>60</v>
      </c>
      <c r="AC5" s="13">
        <v>-60</v>
      </c>
    </row>
    <row r="6" spans="1:30" x14ac:dyDescent="0.25">
      <c r="A6" s="9" t="s">
        <v>28</v>
      </c>
      <c r="B6" s="9">
        <v>8</v>
      </c>
      <c r="C6" s="4">
        <v>270.62906720000001</v>
      </c>
      <c r="D6" s="4">
        <v>83.756372589999998</v>
      </c>
      <c r="E6" s="10">
        <f t="shared" si="0"/>
        <v>0.30948771858309831</v>
      </c>
      <c r="F6" s="4">
        <v>235.89701049999999</v>
      </c>
      <c r="G6" s="4">
        <v>29.93445036</v>
      </c>
      <c r="H6" s="11">
        <f t="shared" si="1"/>
        <v>0.12689626840353707</v>
      </c>
      <c r="I6" s="4">
        <v>519.77</v>
      </c>
      <c r="J6" s="4">
        <v>207.20500000000001</v>
      </c>
      <c r="K6" s="12">
        <f t="shared" si="2"/>
        <v>0.39864747869249867</v>
      </c>
      <c r="L6" s="13">
        <v>337.13</v>
      </c>
      <c r="M6" s="13">
        <v>119.422</v>
      </c>
      <c r="N6" s="11">
        <f t="shared" si="3"/>
        <v>0.35423130543113934</v>
      </c>
      <c r="O6" s="13">
        <v>6.9468937369999999</v>
      </c>
      <c r="P6" s="13">
        <v>6.2302775869999998</v>
      </c>
      <c r="Q6" s="13">
        <f t="shared" si="4"/>
        <v>0.92617376680431396</v>
      </c>
      <c r="R6" s="13">
        <f t="shared" si="5"/>
        <v>0.83063306845401397</v>
      </c>
      <c r="S6" s="13">
        <v>25</v>
      </c>
      <c r="T6" s="4">
        <v>15.9856544</v>
      </c>
      <c r="U6" s="4">
        <v>18.845959990000001</v>
      </c>
      <c r="V6" s="4">
        <v>8.5054292530000009</v>
      </c>
      <c r="W6" s="4">
        <v>28.917048399999999</v>
      </c>
      <c r="X6" s="4">
        <v>2.8363470589999999</v>
      </c>
      <c r="Y6" s="4">
        <v>56.56703134</v>
      </c>
      <c r="Z6" s="4">
        <v>0</v>
      </c>
      <c r="AA6" s="13">
        <v>50</v>
      </c>
      <c r="AB6" s="4">
        <v>60</v>
      </c>
      <c r="AC6" s="13">
        <v>-60</v>
      </c>
    </row>
    <row r="7" spans="1:30" x14ac:dyDescent="0.25">
      <c r="A7" s="14" t="s">
        <v>29</v>
      </c>
      <c r="B7" s="9">
        <v>12</v>
      </c>
      <c r="C7" s="4">
        <v>281.36157830000002</v>
      </c>
      <c r="D7" s="4">
        <v>49.656285339999997</v>
      </c>
      <c r="E7" s="10">
        <f t="shared" si="0"/>
        <v>0.17648566531374194</v>
      </c>
      <c r="F7" s="4">
        <v>245.77728440000001</v>
      </c>
      <c r="G7" s="4">
        <v>57.685515850000002</v>
      </c>
      <c r="H7" s="11">
        <f t="shared" si="1"/>
        <v>0.2347064578845188</v>
      </c>
      <c r="I7" s="4">
        <v>429.43</v>
      </c>
      <c r="J7" s="4">
        <v>62.8</v>
      </c>
      <c r="K7" s="12">
        <f t="shared" si="2"/>
        <v>0.14624036513517918</v>
      </c>
      <c r="L7" s="13">
        <v>486.67</v>
      </c>
      <c r="M7" s="13">
        <v>132.78</v>
      </c>
      <c r="N7" s="11">
        <f t="shared" si="3"/>
        <v>0.27283374771405677</v>
      </c>
      <c r="O7" s="13">
        <v>6.5442381980000004</v>
      </c>
      <c r="P7" s="13">
        <v>6.5611305160000004</v>
      </c>
      <c r="Q7" s="13">
        <f t="shared" si="4"/>
        <v>0.87249092503375603</v>
      </c>
      <c r="R7" s="13">
        <f t="shared" si="5"/>
        <v>0.87474304265415204</v>
      </c>
      <c r="S7" s="13">
        <v>25</v>
      </c>
      <c r="T7" s="4">
        <v>8.5165311589999995</v>
      </c>
      <c r="U7" s="4">
        <v>16.762068249999999</v>
      </c>
      <c r="V7" s="4">
        <v>4.9502672329999999</v>
      </c>
      <c r="W7" s="4">
        <v>25.199670170000001</v>
      </c>
      <c r="X7" s="4">
        <v>2.6031837570000001E-2</v>
      </c>
      <c r="Y7" s="4">
        <v>101.8433802</v>
      </c>
      <c r="Z7" s="4">
        <v>0</v>
      </c>
      <c r="AA7" s="13">
        <v>50</v>
      </c>
      <c r="AB7" s="4">
        <v>60</v>
      </c>
      <c r="AC7" s="13">
        <v>-60</v>
      </c>
    </row>
    <row r="9" spans="1:30" x14ac:dyDescent="0.25">
      <c r="A9" s="9" t="s">
        <v>30</v>
      </c>
      <c r="E9" s="9">
        <f>AVERAGE(E4:E7)</f>
        <v>0.24158110795459781</v>
      </c>
      <c r="F9" s="9"/>
      <c r="G9" s="9"/>
      <c r="H9" s="9">
        <f t="shared" ref="H9:N9" si="6">AVERAGE(H4:H7)</f>
        <v>0.12841457028798675</v>
      </c>
      <c r="I9" s="9"/>
      <c r="J9" s="9"/>
      <c r="K9" s="9">
        <f t="shared" si="6"/>
        <v>0.39748579815732404</v>
      </c>
      <c r="L9" s="9"/>
      <c r="M9" s="9"/>
      <c r="N9" s="9">
        <f t="shared" si="6"/>
        <v>0.4211451722828119</v>
      </c>
    </row>
    <row r="11" spans="1:30" x14ac:dyDescent="0.25">
      <c r="A11" s="9" t="s">
        <v>17</v>
      </c>
      <c r="B11" s="9">
        <v>0</v>
      </c>
      <c r="C11" s="4">
        <v>243.97301400000001</v>
      </c>
      <c r="D11" s="4">
        <v>72.797134600000007</v>
      </c>
      <c r="E11" s="10">
        <f>D11/C11</f>
        <v>0.29838191284549204</v>
      </c>
      <c r="F11" s="4">
        <v>233.20442059999999</v>
      </c>
      <c r="G11" s="4">
        <v>28.381903909999998</v>
      </c>
      <c r="H11" s="11">
        <f>G11/F11</f>
        <v>0.12170397043494123</v>
      </c>
      <c r="I11" s="4">
        <v>395.75409999999999</v>
      </c>
      <c r="J11" s="4">
        <v>192.10939999999999</v>
      </c>
      <c r="K11" s="12">
        <f>J11/I11</f>
        <v>0.48542617751780714</v>
      </c>
      <c r="L11" s="13">
        <v>543.21799999999996</v>
      </c>
      <c r="M11" s="13">
        <v>101.49760000000001</v>
      </c>
      <c r="N11" s="11">
        <f>M11/L11</f>
        <v>0.18684506036250642</v>
      </c>
      <c r="O11" s="13">
        <v>5.8281184269999997</v>
      </c>
      <c r="P11" s="13">
        <v>1.4936749709999999</v>
      </c>
      <c r="Q11" s="13">
        <f>O11*0.133322</f>
        <v>0.77701640492449398</v>
      </c>
      <c r="R11" s="13">
        <f>P11*0.133322</f>
        <v>0.19913973448366198</v>
      </c>
      <c r="S11" s="13">
        <v>50</v>
      </c>
      <c r="T11" s="4">
        <v>11.82869247</v>
      </c>
      <c r="U11" s="4">
        <v>13.9649032</v>
      </c>
      <c r="V11" s="4">
        <v>5.4766542029999998</v>
      </c>
      <c r="W11" s="4">
        <v>50</v>
      </c>
      <c r="X11" s="4">
        <v>2.861221295</v>
      </c>
      <c r="Y11" s="4">
        <v>2</v>
      </c>
      <c r="Z11" s="4">
        <v>0</v>
      </c>
      <c r="AA11" s="13">
        <v>50</v>
      </c>
      <c r="AB11" s="4">
        <v>60</v>
      </c>
      <c r="AC11" s="13">
        <v>-60</v>
      </c>
    </row>
    <row r="12" spans="1:30" x14ac:dyDescent="0.25">
      <c r="A12" s="9" t="s">
        <v>18</v>
      </c>
      <c r="B12" s="9">
        <v>4</v>
      </c>
      <c r="C12" s="4">
        <v>225.3675471</v>
      </c>
      <c r="D12" s="4">
        <v>41.009937620000002</v>
      </c>
      <c r="E12" s="10">
        <f t="shared" ref="E12:E14" si="7">D12/C12</f>
        <v>0.18196913507605905</v>
      </c>
      <c r="F12" s="4">
        <v>183.2370142</v>
      </c>
      <c r="G12" s="4">
        <v>5.5615337069999997</v>
      </c>
      <c r="H12" s="11">
        <f t="shared" ref="H12:H14" si="8">G12/F12</f>
        <v>3.0351584428949942E-2</v>
      </c>
      <c r="I12" s="4">
        <v>282.75189999999998</v>
      </c>
      <c r="J12" s="4">
        <v>21.129899999999999</v>
      </c>
      <c r="K12" s="12">
        <f t="shared" ref="K12:K14" si="9">J12/I12</f>
        <v>7.4729471313897455E-2</v>
      </c>
      <c r="L12" s="13">
        <v>113.0855</v>
      </c>
      <c r="M12" s="13">
        <v>28.452300000000001</v>
      </c>
      <c r="N12" s="11">
        <f t="shared" ref="N12:N14" si="10">M12/L12</f>
        <v>0.25159989565417318</v>
      </c>
      <c r="O12" s="13">
        <v>6.9769886889999997</v>
      </c>
      <c r="P12" s="13">
        <v>8.9448939010000004</v>
      </c>
      <c r="Q12" s="13">
        <f t="shared" ref="Q12:Q14" si="11">O12*0.133322</f>
        <v>0.93018608599485797</v>
      </c>
      <c r="R12" s="13">
        <f t="shared" ref="R12:R14" si="12">P12*0.133322</f>
        <v>1.1925511446691219</v>
      </c>
      <c r="S12" s="13">
        <v>50</v>
      </c>
      <c r="T12" s="4">
        <v>11.59417691</v>
      </c>
      <c r="U12" s="4">
        <v>22.675821379999999</v>
      </c>
      <c r="V12" s="4">
        <v>3.8595014760000002</v>
      </c>
      <c r="W12" s="4">
        <v>50</v>
      </c>
      <c r="X12" s="4">
        <v>0.76935327190000002</v>
      </c>
      <c r="Y12" s="4">
        <v>119.66460379999999</v>
      </c>
      <c r="Z12" s="4">
        <v>0</v>
      </c>
      <c r="AA12" s="13">
        <v>50</v>
      </c>
      <c r="AB12" s="4">
        <v>60</v>
      </c>
      <c r="AC12" s="13">
        <v>-60</v>
      </c>
    </row>
    <row r="13" spans="1:30" x14ac:dyDescent="0.25">
      <c r="A13" s="9" t="s">
        <v>28</v>
      </c>
      <c r="B13" s="9">
        <v>8</v>
      </c>
      <c r="C13" s="4">
        <v>270.62906720000001</v>
      </c>
      <c r="D13" s="4">
        <v>83.756372589999998</v>
      </c>
      <c r="E13" s="10">
        <f t="shared" si="7"/>
        <v>0.30948771858309831</v>
      </c>
      <c r="F13" s="4">
        <v>235.89701049999999</v>
      </c>
      <c r="G13" s="4">
        <v>29.93445036</v>
      </c>
      <c r="H13" s="11">
        <f t="shared" si="8"/>
        <v>0.12689626840353707</v>
      </c>
      <c r="I13" s="4">
        <v>519.77</v>
      </c>
      <c r="J13" s="4">
        <v>105.66200000000001</v>
      </c>
      <c r="K13" s="12">
        <f t="shared" si="9"/>
        <v>0.20328606883813996</v>
      </c>
      <c r="L13" s="13">
        <v>337.13799999999998</v>
      </c>
      <c r="M13" s="13">
        <v>47.814900000000002</v>
      </c>
      <c r="N13" s="11">
        <f t="shared" si="10"/>
        <v>0.1418258991866832</v>
      </c>
      <c r="O13" s="13">
        <v>6.9468937369999999</v>
      </c>
      <c r="P13" s="13">
        <v>6.2302775869999998</v>
      </c>
      <c r="Q13" s="13">
        <f t="shared" si="11"/>
        <v>0.92617376680431396</v>
      </c>
      <c r="R13" s="13">
        <f t="shared" si="12"/>
        <v>0.83063306845401397</v>
      </c>
      <c r="S13" s="13">
        <v>50</v>
      </c>
      <c r="T13" s="4">
        <v>15.9856544</v>
      </c>
      <c r="U13" s="4">
        <v>18.845959990000001</v>
      </c>
      <c r="V13" s="4">
        <v>8.5054292530000009</v>
      </c>
      <c r="W13" s="4">
        <v>28.917048399999999</v>
      </c>
      <c r="X13" s="4">
        <v>2.8363470589999999</v>
      </c>
      <c r="Y13" s="4">
        <v>56.56703134</v>
      </c>
      <c r="Z13" s="4">
        <v>0</v>
      </c>
      <c r="AA13" s="13">
        <v>50</v>
      </c>
      <c r="AB13" s="4">
        <v>60</v>
      </c>
      <c r="AC13" s="13">
        <v>-60</v>
      </c>
    </row>
    <row r="14" spans="1:30" x14ac:dyDescent="0.25">
      <c r="A14" s="14" t="s">
        <v>29</v>
      </c>
      <c r="B14" s="9">
        <v>12</v>
      </c>
      <c r="C14" s="4">
        <v>281.36157830000002</v>
      </c>
      <c r="D14" s="4">
        <v>49.656285339999997</v>
      </c>
      <c r="E14" s="10">
        <f t="shared" si="7"/>
        <v>0.17648566531374194</v>
      </c>
      <c r="F14" s="4">
        <v>245.77728440000001</v>
      </c>
      <c r="G14" s="4">
        <v>57.685515850000002</v>
      </c>
      <c r="H14" s="11">
        <f t="shared" si="8"/>
        <v>0.2347064578845188</v>
      </c>
      <c r="I14" s="4">
        <v>429.43270000000001</v>
      </c>
      <c r="J14" s="4">
        <v>18.137799999999999</v>
      </c>
      <c r="K14" s="12">
        <f t="shared" si="9"/>
        <v>4.2236653147280118E-2</v>
      </c>
      <c r="L14" s="13">
        <v>486.67450000000002</v>
      </c>
      <c r="M14" s="13">
        <v>151.52099999999999</v>
      </c>
      <c r="N14" s="11">
        <f t="shared" si="10"/>
        <v>0.31133950926132348</v>
      </c>
      <c r="O14" s="13">
        <v>6.5442381980000004</v>
      </c>
      <c r="P14" s="13">
        <v>6.5611305160000004</v>
      </c>
      <c r="Q14" s="13">
        <f t="shared" si="11"/>
        <v>0.87249092503375603</v>
      </c>
      <c r="R14" s="13">
        <f t="shared" si="12"/>
        <v>0.87474304265415204</v>
      </c>
      <c r="S14" s="13">
        <v>50</v>
      </c>
      <c r="T14" s="4">
        <v>8.5165311589999995</v>
      </c>
      <c r="U14" s="4">
        <v>16.762068249999999</v>
      </c>
      <c r="V14" s="4">
        <v>4.9502672329999999</v>
      </c>
      <c r="W14" s="4">
        <v>25.199670170000001</v>
      </c>
      <c r="X14" s="4">
        <v>2.6031837570000001E-2</v>
      </c>
      <c r="Y14" s="4">
        <v>101.8433802</v>
      </c>
      <c r="Z14" s="4">
        <v>0</v>
      </c>
      <c r="AA14" s="13">
        <v>50</v>
      </c>
      <c r="AB14" s="4">
        <v>60</v>
      </c>
      <c r="AC14" s="13">
        <v>-60</v>
      </c>
    </row>
    <row r="16" spans="1:30" x14ac:dyDescent="0.25">
      <c r="A16" s="9" t="s">
        <v>30</v>
      </c>
      <c r="E16" s="9">
        <f>AVERAGE(E11:E14)</f>
        <v>0.24158110795459781</v>
      </c>
      <c r="F16" s="9"/>
      <c r="G16" s="9"/>
      <c r="H16" s="9">
        <f t="shared" ref="H16:N16" si="13">AVERAGE(H11:H14)</f>
        <v>0.12841457028798675</v>
      </c>
      <c r="I16" s="9"/>
      <c r="J16" s="9"/>
      <c r="K16" s="9">
        <f t="shared" si="13"/>
        <v>0.20141959270428114</v>
      </c>
      <c r="L16" s="9"/>
      <c r="M16" s="9"/>
      <c r="N16" s="9">
        <f t="shared" si="13"/>
        <v>0.22290259111617158</v>
      </c>
    </row>
    <row r="19" spans="1:14" x14ac:dyDescent="0.25">
      <c r="E19" s="9" t="s">
        <v>31</v>
      </c>
      <c r="H19" s="13" t="s">
        <v>32</v>
      </c>
      <c r="K19" s="13" t="s">
        <v>33</v>
      </c>
      <c r="N19" s="13" t="s">
        <v>34</v>
      </c>
    </row>
    <row r="20" spans="1:14" x14ac:dyDescent="0.25">
      <c r="A20" s="9" t="s">
        <v>17</v>
      </c>
      <c r="B20" s="9">
        <v>25</v>
      </c>
      <c r="C20" s="4">
        <v>243.97301400000001</v>
      </c>
      <c r="D20" s="4">
        <v>72.797134600000007</v>
      </c>
      <c r="E20" s="10">
        <v>0.29838191284549204</v>
      </c>
      <c r="F20" s="4">
        <v>233.20442059999999</v>
      </c>
      <c r="G20" s="4">
        <v>28.381903909999998</v>
      </c>
      <c r="H20" s="11">
        <v>0.12170397043494123</v>
      </c>
      <c r="I20" s="4">
        <v>395.75</v>
      </c>
      <c r="J20" s="4">
        <v>273.7</v>
      </c>
      <c r="K20" s="12">
        <v>0.69159823120656982</v>
      </c>
      <c r="L20" s="13">
        <v>543.21</v>
      </c>
      <c r="M20" s="13">
        <v>297.66000000000003</v>
      </c>
      <c r="N20" s="11">
        <v>0.54796487546252837</v>
      </c>
    </row>
    <row r="21" spans="1:14" x14ac:dyDescent="0.25">
      <c r="A21" s="9" t="s">
        <v>17</v>
      </c>
      <c r="B21" s="9">
        <v>50</v>
      </c>
      <c r="C21" s="4">
        <v>243.97301400000001</v>
      </c>
      <c r="D21" s="4">
        <v>72.797134600000007</v>
      </c>
      <c r="E21" s="10">
        <v>0.29838191284549204</v>
      </c>
      <c r="F21" s="4">
        <v>233.20442059999999</v>
      </c>
      <c r="G21" s="4">
        <v>28.381903909999998</v>
      </c>
      <c r="H21" s="11">
        <v>0.12170397043494123</v>
      </c>
      <c r="I21" s="4">
        <v>395.75409999999999</v>
      </c>
      <c r="J21" s="4">
        <v>192.10939999999999</v>
      </c>
      <c r="K21" s="12">
        <v>0.48542617751780714</v>
      </c>
      <c r="L21" s="13">
        <v>543.21799999999996</v>
      </c>
      <c r="M21" s="13">
        <v>101.49760000000001</v>
      </c>
      <c r="N21" s="11">
        <v>0.18684506036250642</v>
      </c>
    </row>
    <row r="23" spans="1:14" x14ac:dyDescent="0.25">
      <c r="A23" s="9" t="s">
        <v>28</v>
      </c>
      <c r="B23" s="9">
        <v>25</v>
      </c>
      <c r="C23" s="4">
        <v>270.62906720000001</v>
      </c>
      <c r="D23" s="4">
        <v>83.756372589999998</v>
      </c>
      <c r="E23" s="10">
        <v>0.30948771858309831</v>
      </c>
      <c r="F23" s="4">
        <v>235.89701049999999</v>
      </c>
      <c r="G23" s="4">
        <v>29.93445036</v>
      </c>
      <c r="H23" s="11">
        <v>0.12689626840353707</v>
      </c>
      <c r="I23" s="4">
        <v>519.77</v>
      </c>
      <c r="J23" s="4">
        <v>257.57</v>
      </c>
      <c r="K23" s="12">
        <v>0.4955461069319122</v>
      </c>
      <c r="L23" s="13">
        <v>337.13</v>
      </c>
      <c r="M23" s="13">
        <v>180.92</v>
      </c>
      <c r="N23" s="11">
        <v>0.53664758401803458</v>
      </c>
    </row>
    <row r="24" spans="1:14" x14ac:dyDescent="0.25">
      <c r="A24" s="9" t="s">
        <v>28</v>
      </c>
      <c r="B24" s="9">
        <v>50</v>
      </c>
      <c r="C24" s="4">
        <v>270.62906720000001</v>
      </c>
      <c r="D24" s="4">
        <v>83.756372589999998</v>
      </c>
      <c r="E24" s="10">
        <v>0.30948771858309831</v>
      </c>
      <c r="F24" s="4">
        <v>235.89701049999999</v>
      </c>
      <c r="G24" s="4">
        <v>29.93445036</v>
      </c>
      <c r="H24" s="11">
        <v>0.12689626840353707</v>
      </c>
      <c r="I24" s="4">
        <v>337.1386</v>
      </c>
      <c r="J24" s="4">
        <v>77.976500000000001</v>
      </c>
      <c r="K24" s="12">
        <v>0.23128914932908901</v>
      </c>
      <c r="L24" s="13">
        <v>519.77020000000005</v>
      </c>
      <c r="M24" s="13">
        <v>97.945099999999996</v>
      </c>
      <c r="N24" s="11">
        <v>0.18843923718597178</v>
      </c>
    </row>
    <row r="27" spans="1:14" x14ac:dyDescent="0.25">
      <c r="K27" s="13">
        <f>(K20-K21)/K20*100</f>
        <v>29.810957342830775</v>
      </c>
      <c r="N27" s="13">
        <f>(N20-N21)/N20*100</f>
        <v>65.902000524250113</v>
      </c>
    </row>
    <row r="28" spans="1:14" x14ac:dyDescent="0.25">
      <c r="K28" s="13">
        <f>(K23-K24)/K23*100</f>
        <v>53.326411792219361</v>
      </c>
      <c r="N28" s="13">
        <f>(N23-N24)/N23*100</f>
        <v>64.885850081524069</v>
      </c>
    </row>
  </sheetData>
  <mergeCells count="15">
    <mergeCell ref="A1:A3"/>
    <mergeCell ref="S1:S3"/>
    <mergeCell ref="C2:E2"/>
    <mergeCell ref="F2:H2"/>
    <mergeCell ref="I2:K2"/>
    <mergeCell ref="L2:N2"/>
    <mergeCell ref="C1:H1"/>
    <mergeCell ref="I1:N1"/>
    <mergeCell ref="AD1:AD3"/>
    <mergeCell ref="T1:Z1"/>
    <mergeCell ref="AB1:AC1"/>
    <mergeCell ref="B1:B3"/>
    <mergeCell ref="O1:R1"/>
    <mergeCell ref="Q2:R2"/>
    <mergeCell ref="O2:P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Shaikh, Ahmad</dc:creator>
  <cp:lastModifiedBy>Shaikh, Ahmad</cp:lastModifiedBy>
  <dcterms:created xsi:type="dcterms:W3CDTF">2025-08-04T20:00:29Z</dcterms:created>
  <dcterms:modified xsi:type="dcterms:W3CDTF">2025-08-12T23:30:55Z</dcterms:modified>
</cp:coreProperties>
</file>