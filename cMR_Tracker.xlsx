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sdcloud-my.sharepoint.com/personal/ahshaikh_ucsd_edu/Documents/DVJ_Lab/cMRI/Code_GitHub/"/>
    </mc:Choice>
  </mc:AlternateContent>
  <xr:revisionPtr revIDLastSave="122" documentId="8_{19E38453-EBDB-4218-A931-B086A48A644B}" xr6:coauthVersionLast="47" xr6:coauthVersionMax="47" xr10:uidLastSave="{CD99B228-4707-478E-851E-9C249B8B375F}"/>
  <bookViews>
    <workbookView xWindow="-120" yWindow="-120" windowWidth="29040" windowHeight="15840" xr2:uid="{7B0347E3-EFA1-4D9D-A04E-ED2DF9BE09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5" i="1" l="1"/>
  <c r="AE4" i="1"/>
  <c r="G4" i="1"/>
  <c r="D4" i="1"/>
  <c r="M4" i="1"/>
  <c r="J4" i="1"/>
</calcChain>
</file>

<file path=xl/sharedStrings.xml><?xml version="1.0" encoding="utf-8"?>
<sst xmlns="http://schemas.openxmlformats.org/spreadsheetml/2006/main" count="42" uniqueCount="27">
  <si>
    <t>Rat Name</t>
  </si>
  <si>
    <t>PV Loop</t>
  </si>
  <si>
    <t>V End Diastole</t>
  </si>
  <si>
    <t>V0</t>
  </si>
  <si>
    <t>V Ratio</t>
  </si>
  <si>
    <t>FEA</t>
  </si>
  <si>
    <t>Scaling (Material)</t>
  </si>
  <si>
    <t>Pressure (End Diastole)</t>
  </si>
  <si>
    <t>Material Properties</t>
  </si>
  <si>
    <t>a</t>
  </si>
  <si>
    <t>b</t>
  </si>
  <si>
    <t>af</t>
  </si>
  <si>
    <t>bf</t>
  </si>
  <si>
    <t>as</t>
  </si>
  <si>
    <t>bs</t>
  </si>
  <si>
    <t>afs,bfs,asn,bsn,anf,bnf</t>
  </si>
  <si>
    <t>k</t>
  </si>
  <si>
    <t>Z210</t>
  </si>
  <si>
    <t>Y329</t>
  </si>
  <si>
    <t>Mesh Elements</t>
  </si>
  <si>
    <t>endo</t>
  </si>
  <si>
    <t>epi</t>
  </si>
  <si>
    <t>Fiber Angles</t>
  </si>
  <si>
    <t>RV</t>
  </si>
  <si>
    <t>LV</t>
  </si>
  <si>
    <t>mmHg</t>
  </si>
  <si>
    <t>kPa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</si>
</sst>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0" xfId="0" applyFont="1"/>
    <xf numFmtId="0" fontId="0" fillId="0" borderId="0" xfId="0" applyBorder="1"/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4B17-D390-4B22-B64C-8ED65B6CB814}">
  <dimension ref="A1:AE6"/>
  <sheetViews>
    <sheetView tabSelected="1" zoomScaleNormal="100" workbookViewId="0">
      <pane xSplit="1" topLeftCell="B1" activePane="topRight" state="frozen"/>
      <selection pane="topRight" activeCell="I5" sqref="I5"/>
    </sheetView>
  </sheetViews>
  <sheetFormatPr defaultRowHeight="15" x14ac:dyDescent="0.25"/>
  <cols>
    <col min="1" max="1" width="9.5703125" style="1" bestFit="1" customWidth="1"/>
    <col min="2" max="2" width="13.7109375" bestFit="1" customWidth="1"/>
    <col min="3" max="3" width="3.140625" bestFit="1" customWidth="1"/>
    <col min="4" max="4" width="7.140625" style="1" bestFit="1" customWidth="1"/>
    <col min="5" max="6" width="7.140625" style="4" customWidth="1"/>
    <col min="7" max="7" width="7.140625" style="2" customWidth="1"/>
    <col min="8" max="8" width="13.7109375" bestFit="1" customWidth="1"/>
    <col min="9" max="9" width="4" bestFit="1" customWidth="1"/>
    <col min="10" max="10" width="7.140625" style="2" bestFit="1" customWidth="1"/>
    <col min="11" max="13" width="7.140625" style="2" customWidth="1"/>
    <col min="14" max="14" width="22" style="2" bestFit="1" customWidth="1"/>
    <col min="15" max="15" width="22" style="2" customWidth="1"/>
    <col min="16" max="16" width="16.7109375" style="2" bestFit="1" customWidth="1"/>
    <col min="17" max="17" width="4.42578125" customWidth="1"/>
    <col min="18" max="18" width="3.7109375" customWidth="1"/>
    <col min="19" max="19" width="5.5703125" customWidth="1"/>
    <col min="20" max="20" width="5" customWidth="1"/>
    <col min="21" max="21" width="5.140625" customWidth="1"/>
    <col min="22" max="22" width="5.85546875" customWidth="1"/>
    <col min="23" max="23" width="10" customWidth="1"/>
    <col min="24" max="24" width="4.28515625" style="2" customWidth="1"/>
    <col min="26" max="26" width="8.7109375" style="2" customWidth="1"/>
    <col min="27" max="27" width="12" style="2" customWidth="1"/>
  </cols>
  <sheetData>
    <row r="1" spans="1:31" x14ac:dyDescent="0.25">
      <c r="A1" s="5" t="s">
        <v>0</v>
      </c>
      <c r="B1" s="6" t="s">
        <v>1</v>
      </c>
      <c r="C1" s="7"/>
      <c r="D1" s="7"/>
      <c r="E1" s="7"/>
      <c r="F1" s="7"/>
      <c r="G1" s="8"/>
      <c r="H1" s="6" t="s">
        <v>5</v>
      </c>
      <c r="I1" s="7"/>
      <c r="J1" s="7"/>
      <c r="K1" s="7"/>
      <c r="L1" s="7"/>
      <c r="M1" s="8"/>
      <c r="N1" s="6" t="s">
        <v>7</v>
      </c>
      <c r="O1" s="8"/>
      <c r="P1" s="5" t="s">
        <v>6</v>
      </c>
      <c r="Q1" s="10" t="s">
        <v>8</v>
      </c>
      <c r="R1" s="10"/>
      <c r="S1" s="10"/>
      <c r="T1" s="10"/>
      <c r="U1" s="10"/>
      <c r="V1" s="10"/>
      <c r="W1" s="10"/>
      <c r="X1" s="9"/>
      <c r="Y1" s="6" t="s">
        <v>22</v>
      </c>
      <c r="Z1" s="10"/>
      <c r="AA1" s="8" t="s">
        <v>19</v>
      </c>
    </row>
    <row r="2" spans="1:31" x14ac:dyDescent="0.25">
      <c r="A2" s="5"/>
      <c r="B2" s="6" t="s">
        <v>23</v>
      </c>
      <c r="C2" s="7"/>
      <c r="D2" s="8"/>
      <c r="E2" s="6" t="s">
        <v>24</v>
      </c>
      <c r="F2" s="7"/>
      <c r="G2" s="8"/>
      <c r="H2" s="6" t="s">
        <v>23</v>
      </c>
      <c r="I2" s="7"/>
      <c r="J2" s="8"/>
      <c r="K2" s="6" t="s">
        <v>24</v>
      </c>
      <c r="L2" s="7"/>
      <c r="M2" s="8"/>
      <c r="N2" s="6"/>
      <c r="O2" s="8"/>
      <c r="P2" s="5"/>
      <c r="Q2" s="11"/>
      <c r="R2" s="11"/>
      <c r="S2" s="11"/>
      <c r="T2" s="11"/>
      <c r="U2" s="11"/>
      <c r="V2" s="11"/>
      <c r="W2" s="11"/>
      <c r="X2" s="9"/>
      <c r="Y2" s="12"/>
      <c r="Z2" s="11"/>
      <c r="AA2" s="8"/>
    </row>
    <row r="3" spans="1:31" x14ac:dyDescent="0.25">
      <c r="A3" s="13"/>
      <c r="B3" s="14" t="s">
        <v>2</v>
      </c>
      <c r="C3" s="14" t="s">
        <v>3</v>
      </c>
      <c r="D3" s="15" t="s">
        <v>4</v>
      </c>
      <c r="E3" s="14" t="s">
        <v>2</v>
      </c>
      <c r="F3" s="14" t="s">
        <v>3</v>
      </c>
      <c r="G3" s="15" t="s">
        <v>4</v>
      </c>
      <c r="H3" s="14" t="s">
        <v>2</v>
      </c>
      <c r="I3" s="14" t="s">
        <v>3</v>
      </c>
      <c r="J3" s="16" t="s">
        <v>4</v>
      </c>
      <c r="K3" s="14" t="s">
        <v>2</v>
      </c>
      <c r="L3" s="14" t="s">
        <v>3</v>
      </c>
      <c r="M3" s="15" t="s">
        <v>4</v>
      </c>
      <c r="N3" s="16" t="s">
        <v>24</v>
      </c>
      <c r="O3" s="16" t="s">
        <v>23</v>
      </c>
      <c r="P3" s="13"/>
      <c r="Q3" s="14" t="s">
        <v>9</v>
      </c>
      <c r="R3" s="14" t="s">
        <v>10</v>
      </c>
      <c r="S3" s="14" t="s">
        <v>11</v>
      </c>
      <c r="T3" s="14" t="s">
        <v>12</v>
      </c>
      <c r="U3" s="14" t="s">
        <v>13</v>
      </c>
      <c r="V3" s="14" t="s">
        <v>14</v>
      </c>
      <c r="W3" s="14" t="s">
        <v>15</v>
      </c>
      <c r="X3" s="16" t="s">
        <v>16</v>
      </c>
      <c r="Y3" s="17" t="s">
        <v>20</v>
      </c>
      <c r="Z3" s="16" t="s">
        <v>21</v>
      </c>
      <c r="AA3" s="18"/>
      <c r="AD3" t="s">
        <v>25</v>
      </c>
      <c r="AE3" t="s">
        <v>26</v>
      </c>
    </row>
    <row r="4" spans="1:31" x14ac:dyDescent="0.25">
      <c r="A4" s="1" t="s">
        <v>17</v>
      </c>
      <c r="B4" s="3">
        <v>243.97301400000001</v>
      </c>
      <c r="D4" s="1">
        <f>C4/B4</f>
        <v>0</v>
      </c>
      <c r="E4" s="3">
        <v>233.20442059999999</v>
      </c>
      <c r="G4" s="2">
        <f>F4/E4</f>
        <v>0</v>
      </c>
      <c r="H4" s="3">
        <v>395.75</v>
      </c>
      <c r="I4">
        <v>273.7</v>
      </c>
      <c r="J4" s="2">
        <f>I4/H4</f>
        <v>0.69159823120656982</v>
      </c>
      <c r="K4" s="2">
        <v>543.21</v>
      </c>
      <c r="L4" s="2">
        <v>297.66000000000003</v>
      </c>
      <c r="M4" s="2">
        <f>L4/K4</f>
        <v>0.54796487546252837</v>
      </c>
      <c r="N4" s="2">
        <v>0.77701640492449398</v>
      </c>
      <c r="O4">
        <v>0.19913973448366198</v>
      </c>
      <c r="Q4">
        <v>11.82869247</v>
      </c>
      <c r="R4">
        <v>13.9649032</v>
      </c>
      <c r="S4">
        <v>5.4766542029999998</v>
      </c>
      <c r="T4">
        <v>50</v>
      </c>
      <c r="U4">
        <v>2.861221295</v>
      </c>
      <c r="V4">
        <v>2</v>
      </c>
      <c r="W4">
        <v>0</v>
      </c>
      <c r="X4" s="2">
        <v>50</v>
      </c>
      <c r="Y4">
        <v>60</v>
      </c>
      <c r="Z4" s="2">
        <v>-60</v>
      </c>
      <c r="AC4" t="s">
        <v>23</v>
      </c>
      <c r="AD4" s="3">
        <v>8.9448939010000004</v>
      </c>
      <c r="AE4">
        <f>AD4*0.133322</f>
        <v>1.1925511446691219</v>
      </c>
    </row>
    <row r="5" spans="1:31" x14ac:dyDescent="0.25">
      <c r="A5" s="1" t="s">
        <v>18</v>
      </c>
      <c r="B5" s="3">
        <v>225.3675471</v>
      </c>
      <c r="E5" s="3">
        <v>183.2370142</v>
      </c>
      <c r="N5" s="2">
        <v>0.93018608599485797</v>
      </c>
      <c r="O5" s="2">
        <v>1.1925511446691219</v>
      </c>
      <c r="Q5">
        <v>11.59417691</v>
      </c>
      <c r="R5">
        <v>22.675821379999999</v>
      </c>
      <c r="S5">
        <v>3.8595014760000002</v>
      </c>
      <c r="T5">
        <v>50</v>
      </c>
      <c r="U5">
        <v>0.76935327190000002</v>
      </c>
      <c r="V5">
        <v>119.66460379999999</v>
      </c>
      <c r="W5">
        <v>0</v>
      </c>
      <c r="X5" s="2">
        <v>50</v>
      </c>
      <c r="Y5">
        <v>60</v>
      </c>
      <c r="Z5" s="2">
        <v>-60</v>
      </c>
      <c r="AC5" t="s">
        <v>24</v>
      </c>
      <c r="AD5" s="3">
        <v>6.9769886889999997</v>
      </c>
      <c r="AE5">
        <f>AD5*0.133322</f>
        <v>0.93018608599485797</v>
      </c>
    </row>
    <row r="6" spans="1:31" x14ac:dyDescent="0.25">
      <c r="AD6" s="3"/>
    </row>
  </sheetData>
  <mergeCells count="12">
    <mergeCell ref="A1:A3"/>
    <mergeCell ref="P1:P3"/>
    <mergeCell ref="B2:D2"/>
    <mergeCell ref="E2:G2"/>
    <mergeCell ref="H2:J2"/>
    <mergeCell ref="K2:M2"/>
    <mergeCell ref="B1:G1"/>
    <mergeCell ref="H1:M1"/>
    <mergeCell ref="N1:O2"/>
    <mergeCell ref="AA1:AA3"/>
    <mergeCell ref="Q1:W1"/>
    <mergeCell ref="Y1:Z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Shaikh, Ahmad</dc:creator>
  <cp:lastModifiedBy>Shaikh, Ahmad</cp:lastModifiedBy>
  <dcterms:created xsi:type="dcterms:W3CDTF">2025-08-04T20:00:29Z</dcterms:created>
  <dcterms:modified xsi:type="dcterms:W3CDTF">2025-08-06T22:59:06Z</dcterms:modified>
</cp:coreProperties>
</file>